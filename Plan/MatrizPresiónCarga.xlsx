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avila/Desktop/PresióndeCarga/"/>
    </mc:Choice>
  </mc:AlternateContent>
  <xr:revisionPtr revIDLastSave="0" documentId="13_ncr:1_{46E77FED-4A5F-D145-8098-5A2598089093}" xr6:coauthVersionLast="47" xr6:coauthVersionMax="47" xr10:uidLastSave="{00000000-0000-0000-0000-000000000000}"/>
  <bookViews>
    <workbookView xWindow="0" yWindow="500" windowWidth="28800" windowHeight="17500" xr2:uid="{D3FC8BB9-C214-E74A-8E84-2A8DF0427B3B}"/>
  </bookViews>
  <sheets>
    <sheet name="Resumen" sheetId="2" r:id="rId1"/>
    <sheet name="Detalle Enero" sheetId="1" r:id="rId2"/>
    <sheet name="Detalle Febrero" sheetId="5" r:id="rId3"/>
    <sheet name="Detalle Marzo" sheetId="7" r:id="rId4"/>
    <sheet name="Copiar y evaluar cada mes...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G26" i="7"/>
  <c r="G20" i="7"/>
  <c r="G14" i="7"/>
  <c r="G8" i="7"/>
  <c r="C25" i="2"/>
  <c r="G26" i="5"/>
  <c r="G20" i="5"/>
  <c r="G14" i="5"/>
  <c r="G8" i="5"/>
  <c r="G29" i="5" s="1"/>
  <c r="G26" i="1"/>
  <c r="G20" i="1"/>
  <c r="G14" i="1"/>
  <c r="G8" i="1"/>
  <c r="G29" i="7" l="1"/>
  <c r="I13" i="2"/>
  <c r="G13" i="2"/>
  <c r="E13" i="2"/>
  <c r="C13" i="2"/>
  <c r="G29" i="1" l="1"/>
  <c r="F5" i="2" l="1"/>
  <c r="C24" i="2"/>
</calcChain>
</file>

<file path=xl/sharedStrings.xml><?xml version="1.0" encoding="utf-8"?>
<sst xmlns="http://schemas.openxmlformats.org/spreadsheetml/2006/main" count="159" uniqueCount="53">
  <si>
    <t>Pilar</t>
  </si>
  <si>
    <t>Nota</t>
  </si>
  <si>
    <t>Base</t>
  </si>
  <si>
    <t>Presión de Carga Total</t>
  </si>
  <si>
    <t xml:space="preserve"> 80-100</t>
  </si>
  <si>
    <t xml:space="preserve"> 0 -59</t>
  </si>
  <si>
    <t>Presión de carga Total</t>
  </si>
  <si>
    <t>Personal</t>
  </si>
  <si>
    <t>Familiar</t>
  </si>
  <si>
    <t>Profesional</t>
  </si>
  <si>
    <t>Entorno-Social</t>
  </si>
  <si>
    <t>Promedio Pilar Personal</t>
  </si>
  <si>
    <t>Iniciativas / Hábito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</si>
  <si>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</si>
  <si>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</si>
  <si>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</si>
  <si>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</si>
  <si>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</si>
  <si>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</si>
  <si>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</si>
  <si>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</si>
  <si>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</si>
  <si>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</si>
  <si>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</si>
  <si>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</si>
  <si>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Pilar Familiar</t>
  </si>
  <si>
    <t>Promedio Pilar Profesional</t>
  </si>
  <si>
    <t>Promedio Pilar Entorno-Social</t>
  </si>
  <si>
    <t>Optima salud física y mental</t>
  </si>
  <si>
    <t>Hacer ejercicios 4 veces a la semana (1,5 HR/Sesión)</t>
  </si>
  <si>
    <t>Pilar Personal</t>
  </si>
  <si>
    <t>Pilar Familiar</t>
  </si>
  <si>
    <t>Pilar Profesional</t>
  </si>
  <si>
    <t>Pilar Entorno</t>
  </si>
  <si>
    <t xml:space="preserve">Mes </t>
  </si>
  <si>
    <t>Peso</t>
  </si>
  <si>
    <t>Nivel</t>
  </si>
  <si>
    <t>Normal</t>
  </si>
  <si>
    <t>Importante</t>
  </si>
  <si>
    <t>Presión de Carga</t>
  </si>
  <si>
    <t>Medio</t>
  </si>
  <si>
    <t>Objetivo Especifico</t>
  </si>
  <si>
    <t>Escribe tu Objetivo</t>
  </si>
  <si>
    <t>Define la iniciativa o hábito</t>
  </si>
  <si>
    <t>Peso (1-3)*</t>
  </si>
  <si>
    <t>*</t>
  </si>
  <si>
    <t>Indicación</t>
  </si>
  <si>
    <t>OK</t>
  </si>
  <si>
    <t>Precaución</t>
  </si>
  <si>
    <t>Peligro</t>
  </si>
  <si>
    <t>**</t>
  </si>
  <si>
    <t>Nota **</t>
  </si>
  <si>
    <t xml:space="preserve"> 60 - 79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</si>
</sst>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0" fillId="0" borderId="18" xfId="0" applyBorder="1"/>
    <xf numFmtId="0" fontId="1" fillId="0" borderId="11" xfId="0" applyFont="1" applyBorder="1"/>
    <xf numFmtId="0" fontId="1" fillId="0" borderId="13" xfId="0" applyFont="1" applyBorder="1"/>
    <xf numFmtId="1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4" xfId="0" applyFont="1" applyBorder="1"/>
    <xf numFmtId="0" fontId="1" fillId="5" borderId="16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0" borderId="13" xfId="0" applyFont="1" applyBorder="1" applyAlignment="1">
      <alignment vertical="center"/>
    </xf>
    <xf numFmtId="0" fontId="0" fillId="0" borderId="3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21" xfId="0" applyBorder="1"/>
    <xf numFmtId="0" fontId="0" fillId="0" borderId="2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0" xfId="0" applyBorder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1" fillId="0" borderId="17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1" fontId="0" fillId="0" borderId="8" xfId="0" applyNumberFormat="1" applyBorder="1" applyAlignment="1">
      <alignment vertical="center"/>
    </xf>
    <xf numFmtId="0" fontId="0" fillId="0" borderId="23" xfId="0" applyBorder="1"/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3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</cellXfs>
  <cellStyles count="1"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Presión de Carga / Vuelo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Resumen!$C$23</c:f>
              <c:strCache>
                <c:ptCount val="1"/>
                <c:pt idx="0">
                  <c:v>Presión de Carga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Resumen!$B$24:$B$35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Resumen!$C$24:$C$35</c:f>
              <c:numCache>
                <c:formatCode>0</c:formatCode>
                <c:ptCount val="12"/>
                <c:pt idx="0">
                  <c:v>66</c:v>
                </c:pt>
                <c:pt idx="1">
                  <c:v>66</c:v>
                </c:pt>
                <c:pt idx="2">
                  <c:v>64.583333333333343</c:v>
                </c:pt>
                <c:pt idx="3" formatCode="General">
                  <c:v>60</c:v>
                </c:pt>
                <c:pt idx="4" formatCode="General">
                  <c:v>75</c:v>
                </c:pt>
                <c:pt idx="5" formatCode="General">
                  <c:v>80</c:v>
                </c:pt>
                <c:pt idx="6" formatCode="General">
                  <c:v>82</c:v>
                </c:pt>
                <c:pt idx="7" formatCode="General">
                  <c:v>84</c:v>
                </c:pt>
                <c:pt idx="8" formatCode="General">
                  <c:v>85</c:v>
                </c:pt>
                <c:pt idx="9" formatCode="General">
                  <c:v>86</c:v>
                </c:pt>
                <c:pt idx="10" formatCode="General">
                  <c:v>90</c:v>
                </c:pt>
                <c:pt idx="11" formatCode="General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F-6248-AFE4-956FE1202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004448"/>
        <c:axId val="577006176"/>
      </c:lineChart>
      <c:catAx>
        <c:axId val="57700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7006176"/>
        <c:crosses val="autoZero"/>
        <c:auto val="1"/>
        <c:lblAlgn val="ctr"/>
        <c:lblOffset val="100"/>
        <c:noMultiLvlLbl val="0"/>
      </c:catAx>
      <c:valAx>
        <c:axId val="5770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700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4</xdr:row>
      <xdr:rowOff>190501</xdr:rowOff>
    </xdr:from>
    <xdr:to>
      <xdr:col>5</xdr:col>
      <xdr:colOff>1043777</xdr:colOff>
      <xdr:row>7</xdr:row>
      <xdr:rowOff>108859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5DA626A3-2B6D-994D-9CA8-F017B6950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1857" y="1406072"/>
          <a:ext cx="662777" cy="535215"/>
        </a:xfrm>
        <a:prstGeom prst="rect">
          <a:avLst/>
        </a:prstGeom>
      </xdr:spPr>
    </xdr:pic>
    <xdr:clientData/>
  </xdr:twoCellAnchor>
  <xdr:twoCellAnchor editAs="oneCell">
    <xdr:from>
      <xdr:col>2</xdr:col>
      <xdr:colOff>199572</xdr:colOff>
      <xdr:row>13</xdr:row>
      <xdr:rowOff>9071</xdr:rowOff>
    </xdr:from>
    <xdr:to>
      <xdr:col>2</xdr:col>
      <xdr:colOff>862349</xdr:colOff>
      <xdr:row>15</xdr:row>
      <xdr:rowOff>145143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E1EA6825-E6F0-D04F-B926-D534A565B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2" y="3075214"/>
          <a:ext cx="662777" cy="535215"/>
        </a:xfrm>
        <a:prstGeom prst="rect">
          <a:avLst/>
        </a:prstGeom>
      </xdr:spPr>
    </xdr:pic>
    <xdr:clientData/>
  </xdr:twoCellAnchor>
  <xdr:twoCellAnchor editAs="oneCell">
    <xdr:from>
      <xdr:col>4</xdr:col>
      <xdr:colOff>215900</xdr:colOff>
      <xdr:row>12</xdr:row>
      <xdr:rowOff>215899</xdr:rowOff>
    </xdr:from>
    <xdr:to>
      <xdr:col>4</xdr:col>
      <xdr:colOff>878677</xdr:colOff>
      <xdr:row>15</xdr:row>
      <xdr:rowOff>134257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B34F31A-C1AB-894C-8106-12E1B8EE2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4686" y="3064328"/>
          <a:ext cx="662777" cy="535215"/>
        </a:xfrm>
        <a:prstGeom prst="rect">
          <a:avLst/>
        </a:prstGeom>
      </xdr:spPr>
    </xdr:pic>
    <xdr:clientData/>
  </xdr:twoCellAnchor>
  <xdr:twoCellAnchor editAs="oneCell">
    <xdr:from>
      <xdr:col>6</xdr:col>
      <xdr:colOff>368301</xdr:colOff>
      <xdr:row>13</xdr:row>
      <xdr:rowOff>23585</xdr:rowOff>
    </xdr:from>
    <xdr:to>
      <xdr:col>6</xdr:col>
      <xdr:colOff>1031078</xdr:colOff>
      <xdr:row>15</xdr:row>
      <xdr:rowOff>159657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9BB5024E-0EE4-5D40-9FA7-8FCDE0170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9658" y="3089728"/>
          <a:ext cx="662777" cy="535215"/>
        </a:xfrm>
        <a:prstGeom prst="rect">
          <a:avLst/>
        </a:prstGeom>
      </xdr:spPr>
    </xdr:pic>
    <xdr:clientData/>
  </xdr:twoCellAnchor>
  <xdr:twoCellAnchor editAs="oneCell">
    <xdr:from>
      <xdr:col>8</xdr:col>
      <xdr:colOff>112487</xdr:colOff>
      <xdr:row>13</xdr:row>
      <xdr:rowOff>39914</xdr:rowOff>
    </xdr:from>
    <xdr:to>
      <xdr:col>8</xdr:col>
      <xdr:colOff>775264</xdr:colOff>
      <xdr:row>15</xdr:row>
      <xdr:rowOff>175986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74666FF8-9F15-4244-8D85-2C87DC708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0058" y="3106057"/>
          <a:ext cx="662777" cy="535215"/>
        </a:xfrm>
        <a:prstGeom prst="rect">
          <a:avLst/>
        </a:prstGeom>
      </xdr:spPr>
    </xdr:pic>
    <xdr:clientData/>
  </xdr:twoCellAnchor>
  <xdr:twoCellAnchor>
    <xdr:from>
      <xdr:col>2</xdr:col>
      <xdr:colOff>200741</xdr:colOff>
      <xdr:row>5</xdr:row>
      <xdr:rowOff>127000</xdr:rowOff>
    </xdr:from>
    <xdr:to>
      <xdr:col>5</xdr:col>
      <xdr:colOff>462644</xdr:colOff>
      <xdr:row>11</xdr:row>
      <xdr:rowOff>0</xdr:rowOff>
    </xdr:to>
    <xdr:sp macro="" textlink="">
      <xdr:nvSpPr>
        <xdr:cNvPr id="50" name="Forma libre 49">
          <a:extLst>
            <a:ext uri="{FF2B5EF4-FFF2-40B4-BE49-F238E27FC236}">
              <a16:creationId xmlns:a16="http://schemas.microsoft.com/office/drawing/2014/main" id="{5C8084CA-543B-822F-F630-85321AA1EF88}"/>
            </a:ext>
          </a:extLst>
        </xdr:cNvPr>
        <xdr:cNvSpPr/>
      </xdr:nvSpPr>
      <xdr:spPr>
        <a:xfrm>
          <a:off x="1851741" y="1560286"/>
          <a:ext cx="3291760" cy="1070428"/>
        </a:xfrm>
        <a:custGeom>
          <a:avLst/>
          <a:gdLst>
            <a:gd name="connsiteX0" fmla="*/ 307260 w 3500403"/>
            <a:gd name="connsiteY0" fmla="*/ 654034 h 654034"/>
            <a:gd name="connsiteX1" fmla="*/ 307260 w 3500403"/>
            <a:gd name="connsiteY1" fmla="*/ 55320 h 654034"/>
            <a:gd name="connsiteX2" fmla="*/ 3500403 w 3500403"/>
            <a:gd name="connsiteY2" fmla="*/ 55320 h 6540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500403" h="654034">
              <a:moveTo>
                <a:pt x="307260" y="654034"/>
              </a:moveTo>
              <a:cubicBezTo>
                <a:pt x="41164" y="404570"/>
                <a:pt x="-224931" y="155106"/>
                <a:pt x="307260" y="55320"/>
              </a:cubicBezTo>
              <a:cubicBezTo>
                <a:pt x="839451" y="-44466"/>
                <a:pt x="2980308" y="12987"/>
                <a:pt x="3500403" y="5532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970642</xdr:colOff>
      <xdr:row>5</xdr:row>
      <xdr:rowOff>136072</xdr:rowOff>
    </xdr:from>
    <xdr:to>
      <xdr:col>8</xdr:col>
      <xdr:colOff>825499</xdr:colOff>
      <xdr:row>11</xdr:row>
      <xdr:rowOff>27216</xdr:rowOff>
    </xdr:to>
    <xdr:sp macro="" textlink="">
      <xdr:nvSpPr>
        <xdr:cNvPr id="51" name="Forma libre 50">
          <a:extLst>
            <a:ext uri="{FF2B5EF4-FFF2-40B4-BE49-F238E27FC236}">
              <a16:creationId xmlns:a16="http://schemas.microsoft.com/office/drawing/2014/main" id="{2F1BDE96-C33F-294B-BAC3-594BCEF899CB}"/>
            </a:ext>
          </a:extLst>
        </xdr:cNvPr>
        <xdr:cNvSpPr/>
      </xdr:nvSpPr>
      <xdr:spPr>
        <a:xfrm flipH="1">
          <a:off x="5651499" y="1569358"/>
          <a:ext cx="3501571" cy="1088572"/>
        </a:xfrm>
        <a:custGeom>
          <a:avLst/>
          <a:gdLst>
            <a:gd name="connsiteX0" fmla="*/ 307260 w 3500403"/>
            <a:gd name="connsiteY0" fmla="*/ 654034 h 654034"/>
            <a:gd name="connsiteX1" fmla="*/ 307260 w 3500403"/>
            <a:gd name="connsiteY1" fmla="*/ 55320 h 654034"/>
            <a:gd name="connsiteX2" fmla="*/ 3500403 w 3500403"/>
            <a:gd name="connsiteY2" fmla="*/ 55320 h 6540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500403" h="654034">
              <a:moveTo>
                <a:pt x="307260" y="654034"/>
              </a:moveTo>
              <a:cubicBezTo>
                <a:pt x="41164" y="404570"/>
                <a:pt x="-224931" y="155106"/>
                <a:pt x="307260" y="55320"/>
              </a:cubicBezTo>
              <a:cubicBezTo>
                <a:pt x="839451" y="-44466"/>
                <a:pt x="2980308" y="12987"/>
                <a:pt x="3500403" y="5532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394180</xdr:colOff>
      <xdr:row>6</xdr:row>
      <xdr:rowOff>90714</xdr:rowOff>
    </xdr:from>
    <xdr:to>
      <xdr:col>5</xdr:col>
      <xdr:colOff>435429</xdr:colOff>
      <xdr:row>11</xdr:row>
      <xdr:rowOff>9072</xdr:rowOff>
    </xdr:to>
    <xdr:sp macro="" textlink="">
      <xdr:nvSpPr>
        <xdr:cNvPr id="53" name="Forma libre 52">
          <a:extLst>
            <a:ext uri="{FF2B5EF4-FFF2-40B4-BE49-F238E27FC236}">
              <a16:creationId xmlns:a16="http://schemas.microsoft.com/office/drawing/2014/main" id="{D168C199-1905-26DF-98B5-FD901D89BD17}"/>
            </a:ext>
          </a:extLst>
        </xdr:cNvPr>
        <xdr:cNvSpPr/>
      </xdr:nvSpPr>
      <xdr:spPr>
        <a:xfrm>
          <a:off x="3922966" y="1723571"/>
          <a:ext cx="1193320" cy="916215"/>
        </a:xfrm>
        <a:custGeom>
          <a:avLst/>
          <a:gdLst>
            <a:gd name="connsiteX0" fmla="*/ 104748 w 1193320"/>
            <a:gd name="connsiteY0" fmla="*/ 916215 h 916215"/>
            <a:gd name="connsiteX1" fmla="*/ 104748 w 1193320"/>
            <a:gd name="connsiteY1" fmla="*/ 317500 h 916215"/>
            <a:gd name="connsiteX2" fmla="*/ 1193320 w 1193320"/>
            <a:gd name="connsiteY2" fmla="*/ 0 h 91621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193320" h="916215">
              <a:moveTo>
                <a:pt x="104748" y="916215"/>
              </a:moveTo>
              <a:cubicBezTo>
                <a:pt x="14033" y="693208"/>
                <a:pt x="-76681" y="470202"/>
                <a:pt x="104748" y="317500"/>
              </a:cubicBezTo>
              <a:cubicBezTo>
                <a:pt x="286177" y="164797"/>
                <a:pt x="739748" y="82398"/>
                <a:pt x="1193320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977899</xdr:colOff>
      <xdr:row>6</xdr:row>
      <xdr:rowOff>52614</xdr:rowOff>
    </xdr:from>
    <xdr:to>
      <xdr:col>6</xdr:col>
      <xdr:colOff>879928</xdr:colOff>
      <xdr:row>10</xdr:row>
      <xdr:rowOff>170543</xdr:rowOff>
    </xdr:to>
    <xdr:sp macro="" textlink="">
      <xdr:nvSpPr>
        <xdr:cNvPr id="54" name="Forma libre 53">
          <a:extLst>
            <a:ext uri="{FF2B5EF4-FFF2-40B4-BE49-F238E27FC236}">
              <a16:creationId xmlns:a16="http://schemas.microsoft.com/office/drawing/2014/main" id="{291D345C-3276-3844-B90A-F3966506DDA5}"/>
            </a:ext>
          </a:extLst>
        </xdr:cNvPr>
        <xdr:cNvSpPr/>
      </xdr:nvSpPr>
      <xdr:spPr>
        <a:xfrm flipH="1">
          <a:off x="5658756" y="1685471"/>
          <a:ext cx="1362529" cy="916215"/>
        </a:xfrm>
        <a:custGeom>
          <a:avLst/>
          <a:gdLst>
            <a:gd name="connsiteX0" fmla="*/ 104748 w 1193320"/>
            <a:gd name="connsiteY0" fmla="*/ 916215 h 916215"/>
            <a:gd name="connsiteX1" fmla="*/ 104748 w 1193320"/>
            <a:gd name="connsiteY1" fmla="*/ 317500 h 916215"/>
            <a:gd name="connsiteX2" fmla="*/ 1193320 w 1193320"/>
            <a:gd name="connsiteY2" fmla="*/ 0 h 91621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193320" h="916215">
              <a:moveTo>
                <a:pt x="104748" y="916215"/>
              </a:moveTo>
              <a:cubicBezTo>
                <a:pt x="14033" y="693208"/>
                <a:pt x="-76681" y="470202"/>
                <a:pt x="104748" y="317500"/>
              </a:cubicBezTo>
              <a:cubicBezTo>
                <a:pt x="286177" y="164797"/>
                <a:pt x="739748" y="82398"/>
                <a:pt x="1193320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9070</xdr:colOff>
      <xdr:row>22</xdr:row>
      <xdr:rowOff>11793</xdr:rowOff>
    </xdr:from>
    <xdr:to>
      <xdr:col>7</xdr:col>
      <xdr:colOff>816429</xdr:colOff>
      <xdr:row>36</xdr:row>
      <xdr:rowOff>27214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470D70-FB96-B13B-CA00-FBB15B5F5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3B91-2089-EB46-A83B-4EBBE503DE83}">
  <dimension ref="B4:K35"/>
  <sheetViews>
    <sheetView tabSelected="1" zoomScale="130" zoomScaleNormal="130" workbookViewId="0"/>
  </sheetViews>
  <sheetFormatPr baseColWidth="10" defaultRowHeight="16" x14ac:dyDescent="0.2"/>
  <cols>
    <col min="1" max="1" width="6.1640625" customWidth="1"/>
    <col min="3" max="3" width="15.1640625" bestFit="1" customWidth="1"/>
    <col min="5" max="5" width="15.1640625" bestFit="1" customWidth="1"/>
    <col min="6" max="6" width="19.1640625" bestFit="1" customWidth="1"/>
    <col min="7" max="7" width="17.83203125" bestFit="1" customWidth="1"/>
    <col min="9" max="9" width="11.83203125" bestFit="1" customWidth="1"/>
  </cols>
  <sheetData>
    <row r="4" spans="3:9" ht="17" thickBot="1" x14ac:dyDescent="0.25">
      <c r="F4" t="s">
        <v>3</v>
      </c>
    </row>
    <row r="5" spans="3:9" ht="17" thickBot="1" x14ac:dyDescent="0.25">
      <c r="F5" s="9">
        <f>+'Detalle Enero'!G29</f>
        <v>66</v>
      </c>
    </row>
    <row r="12" spans="3:9" ht="17" thickBot="1" x14ac:dyDescent="0.25">
      <c r="C12" s="10" t="s">
        <v>30</v>
      </c>
      <c r="E12" s="10" t="s">
        <v>31</v>
      </c>
      <c r="G12" s="10" t="s">
        <v>32</v>
      </c>
      <c r="I12" s="10" t="s">
        <v>33</v>
      </c>
    </row>
    <row r="13" spans="3:9" ht="17" thickBot="1" x14ac:dyDescent="0.25">
      <c r="C13" s="9">
        <f>+'Detalle Enero'!G8</f>
        <v>54</v>
      </c>
      <c r="E13" s="9">
        <f>+'Detalle Enero'!G14</f>
        <v>80</v>
      </c>
      <c r="G13" s="9">
        <f>+'Detalle Enero'!G20</f>
        <v>70</v>
      </c>
      <c r="I13" s="9">
        <f>+'Detalle Enero'!G26</f>
        <v>60</v>
      </c>
    </row>
    <row r="22" spans="2:11" ht="17" thickBot="1" x14ac:dyDescent="0.25"/>
    <row r="23" spans="2:11" ht="17" thickBot="1" x14ac:dyDescent="0.25">
      <c r="B23" s="40" t="s">
        <v>34</v>
      </c>
      <c r="C23" s="41" t="s">
        <v>39</v>
      </c>
      <c r="J23" s="50" t="s">
        <v>1</v>
      </c>
      <c r="K23" s="51" t="s">
        <v>46</v>
      </c>
    </row>
    <row r="24" spans="2:11" x14ac:dyDescent="0.2">
      <c r="B24" s="1" t="s">
        <v>13</v>
      </c>
      <c r="C24" s="45">
        <f>+'Detalle Enero'!G29</f>
        <v>66</v>
      </c>
      <c r="J24" s="47" t="s">
        <v>4</v>
      </c>
      <c r="K24" s="55" t="s">
        <v>47</v>
      </c>
    </row>
    <row r="25" spans="2:11" x14ac:dyDescent="0.2">
      <c r="B25" s="1" t="s">
        <v>14</v>
      </c>
      <c r="C25" s="45">
        <f>+'Detalle Febrero'!G29</f>
        <v>66</v>
      </c>
      <c r="J25" s="48" t="s">
        <v>52</v>
      </c>
      <c r="K25" s="56" t="s">
        <v>48</v>
      </c>
    </row>
    <row r="26" spans="2:11" ht="17" thickBot="1" x14ac:dyDescent="0.25">
      <c r="B26" s="1" t="s">
        <v>15</v>
      </c>
      <c r="C26" s="45">
        <f>+'Detalle Marzo'!G29</f>
        <v>64.583333333333343</v>
      </c>
      <c r="J26" s="49" t="s">
        <v>5</v>
      </c>
      <c r="K26" s="57" t="s">
        <v>49</v>
      </c>
    </row>
    <row r="27" spans="2:11" x14ac:dyDescent="0.2">
      <c r="B27" s="1" t="s">
        <v>16</v>
      </c>
      <c r="C27" s="36">
        <v>60</v>
      </c>
    </row>
    <row r="28" spans="2:11" x14ac:dyDescent="0.2">
      <c r="B28" s="1" t="s">
        <v>17</v>
      </c>
      <c r="C28" s="36">
        <v>75</v>
      </c>
    </row>
    <row r="29" spans="2:11" x14ac:dyDescent="0.2">
      <c r="B29" s="1" t="s">
        <v>18</v>
      </c>
      <c r="C29" s="36">
        <v>80</v>
      </c>
    </row>
    <row r="30" spans="2:11" x14ac:dyDescent="0.2">
      <c r="B30" s="1" t="s">
        <v>19</v>
      </c>
      <c r="C30" s="36">
        <v>82</v>
      </c>
    </row>
    <row r="31" spans="2:11" x14ac:dyDescent="0.2">
      <c r="B31" s="1" t="s">
        <v>20</v>
      </c>
      <c r="C31" s="36">
        <v>84</v>
      </c>
    </row>
    <row r="32" spans="2:11" x14ac:dyDescent="0.2">
      <c r="B32" s="1" t="s">
        <v>21</v>
      </c>
      <c r="C32" s="36">
        <v>85</v>
      </c>
    </row>
    <row r="33" spans="2:3" x14ac:dyDescent="0.2">
      <c r="B33" s="1" t="s">
        <v>22</v>
      </c>
      <c r="C33" s="36">
        <v>86</v>
      </c>
    </row>
    <row r="34" spans="2:3" x14ac:dyDescent="0.2">
      <c r="B34" s="1" t="s">
        <v>23</v>
      </c>
      <c r="C34" s="36">
        <v>90</v>
      </c>
    </row>
    <row r="35" spans="2:3" ht="17" thickBot="1" x14ac:dyDescent="0.25">
      <c r="B35" s="3" t="s">
        <v>24</v>
      </c>
      <c r="C35" s="38">
        <v>92</v>
      </c>
    </row>
  </sheetData>
  <phoneticPr fontId="2" type="noConversion"/>
  <conditionalFormatting sqref="C13">
    <cfRule type="cellIs" dxfId="62" priority="39" operator="lessThan">
      <formula>60</formula>
    </cfRule>
    <cfRule type="cellIs" dxfId="61" priority="38" operator="between">
      <formula>61</formula>
      <formula>69</formula>
    </cfRule>
    <cfRule type="cellIs" dxfId="60" priority="36" operator="between">
      <formula>60</formula>
      <formula>69</formula>
    </cfRule>
    <cfRule type="cellIs" dxfId="59" priority="35" operator="greaterThan">
      <formula>70</formula>
    </cfRule>
    <cfRule type="cellIs" dxfId="58" priority="34" operator="greaterThan">
      <formula>69</formula>
    </cfRule>
    <cfRule type="cellIs" dxfId="57" priority="33" operator="between">
      <formula>60</formula>
      <formula>80</formula>
    </cfRule>
    <cfRule type="cellIs" dxfId="56" priority="32" operator="greaterThan">
      <formula>79</formula>
    </cfRule>
  </conditionalFormatting>
  <conditionalFormatting sqref="C24:C35">
    <cfRule type="cellIs" dxfId="55" priority="1" operator="greaterThan">
      <formula>79</formula>
    </cfRule>
    <cfRule type="cellIs" dxfId="54" priority="2" operator="between">
      <formula>60</formula>
      <formula>80</formula>
    </cfRule>
    <cfRule type="cellIs" dxfId="53" priority="3" operator="greaterThan">
      <formula>69</formula>
    </cfRule>
    <cfRule type="cellIs" dxfId="52" priority="4" operator="greaterThan">
      <formula>70</formula>
    </cfRule>
    <cfRule type="cellIs" dxfId="51" priority="5" operator="between">
      <formula>60</formula>
      <formula>69</formula>
    </cfRule>
    <cfRule type="cellIs" dxfId="50" priority="6" operator="between">
      <formula>61</formula>
      <formula>69</formula>
    </cfRule>
    <cfRule type="cellIs" dxfId="49" priority="7" operator="lessThan">
      <formula>60</formula>
    </cfRule>
  </conditionalFormatting>
  <conditionalFormatting sqref="E13">
    <cfRule type="cellIs" dxfId="48" priority="24" operator="greaterThan">
      <formula>79</formula>
    </cfRule>
    <cfRule type="cellIs" dxfId="47" priority="25" operator="between">
      <formula>60</formula>
      <formula>80</formula>
    </cfRule>
    <cfRule type="cellIs" dxfId="46" priority="26" operator="greaterThan">
      <formula>69</formula>
    </cfRule>
    <cfRule type="cellIs" dxfId="45" priority="27" operator="greaterThan">
      <formula>70</formula>
    </cfRule>
    <cfRule type="cellIs" dxfId="44" priority="28" operator="between">
      <formula>60</formula>
      <formula>69</formula>
    </cfRule>
    <cfRule type="cellIs" dxfId="43" priority="30" operator="between">
      <formula>61</formula>
      <formula>69</formula>
    </cfRule>
    <cfRule type="cellIs" dxfId="42" priority="31" operator="lessThan">
      <formula>60</formula>
    </cfRule>
  </conditionalFormatting>
  <conditionalFormatting sqref="F5">
    <cfRule type="cellIs" dxfId="41" priority="47" operator="lessThan">
      <formula>60</formula>
    </cfRule>
    <cfRule type="cellIs" dxfId="40" priority="46" operator="between">
      <formula>61</formula>
      <formula>69</formula>
    </cfRule>
    <cfRule type="cellIs" dxfId="39" priority="44" operator="between">
      <formula>60</formula>
      <formula>69</formula>
    </cfRule>
    <cfRule type="cellIs" dxfId="38" priority="43" operator="greaterThan">
      <formula>70</formula>
    </cfRule>
    <cfRule type="cellIs" dxfId="37" priority="42" operator="greaterThan">
      <formula>69</formula>
    </cfRule>
    <cfRule type="cellIs" dxfId="36" priority="41" operator="between">
      <formula>60</formula>
      <formula>80</formula>
    </cfRule>
    <cfRule type="cellIs" dxfId="35" priority="40" operator="greaterThan">
      <formula>79</formula>
    </cfRule>
  </conditionalFormatting>
  <conditionalFormatting sqref="G13">
    <cfRule type="cellIs" dxfId="34" priority="17" operator="between">
      <formula>60</formula>
      <formula>80</formula>
    </cfRule>
    <cfRule type="cellIs" dxfId="33" priority="16" operator="greaterThan">
      <formula>79</formula>
    </cfRule>
    <cfRule type="cellIs" dxfId="32" priority="23" operator="lessThan">
      <formula>60</formula>
    </cfRule>
    <cfRule type="cellIs" dxfId="31" priority="22" operator="between">
      <formula>61</formula>
      <formula>69</formula>
    </cfRule>
    <cfRule type="cellIs" dxfId="30" priority="20" operator="between">
      <formula>60</formula>
      <formula>69</formula>
    </cfRule>
    <cfRule type="cellIs" dxfId="29" priority="19" operator="greaterThan">
      <formula>70</formula>
    </cfRule>
    <cfRule type="cellIs" dxfId="28" priority="18" operator="greaterThan">
      <formula>69</formula>
    </cfRule>
  </conditionalFormatting>
  <conditionalFormatting sqref="I13">
    <cfRule type="cellIs" dxfId="27" priority="14" operator="between">
      <formula>61</formula>
      <formula>69</formula>
    </cfRule>
    <cfRule type="cellIs" dxfId="26" priority="12" operator="between">
      <formula>60</formula>
      <formula>69</formula>
    </cfRule>
    <cfRule type="cellIs" dxfId="25" priority="11" operator="greaterThan">
      <formula>70</formula>
    </cfRule>
    <cfRule type="cellIs" dxfId="24" priority="10" operator="greaterThan">
      <formula>69</formula>
    </cfRule>
    <cfRule type="cellIs" dxfId="23" priority="9" operator="between">
      <formula>60</formula>
      <formula>80</formula>
    </cfRule>
    <cfRule type="cellIs" dxfId="22" priority="8" operator="greaterThan">
      <formula>79</formula>
    </cfRule>
    <cfRule type="cellIs" dxfId="21" priority="15" operator="lessThan">
      <formula>60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F2AA-35A1-924C-8CEE-AF6C261B7D87}">
  <dimension ref="A2:G39"/>
  <sheetViews>
    <sheetView zoomScale="110" zoomScaleNormal="11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6" x14ac:dyDescent="0.2"/>
  <cols>
    <col min="1" max="1" width="4.33203125" customWidth="1"/>
    <col min="2" max="2" width="19.1640625" bestFit="1" customWidth="1"/>
    <col min="3" max="3" width="33" bestFit="1" customWidth="1"/>
    <col min="4" max="4" width="49.83203125" bestFit="1" customWidth="1"/>
    <col min="5" max="5" width="11" customWidth="1"/>
    <col min="6" max="6" width="5.33203125" hidden="1" customWidth="1"/>
    <col min="7" max="7" width="8.6640625" bestFit="1" customWidth="1"/>
  </cols>
  <sheetData>
    <row r="2" spans="2:7" ht="17" thickBot="1" x14ac:dyDescent="0.25"/>
    <row r="3" spans="2:7" ht="17" thickBot="1" x14ac:dyDescent="0.25">
      <c r="B3" s="25" t="s">
        <v>0</v>
      </c>
      <c r="C3" s="26" t="s">
        <v>41</v>
      </c>
      <c r="D3" s="27" t="s">
        <v>12</v>
      </c>
      <c r="E3" s="26" t="s">
        <v>44</v>
      </c>
      <c r="F3" s="26" t="s">
        <v>2</v>
      </c>
      <c r="G3" s="27" t="s">
        <v>51</v>
      </c>
    </row>
    <row r="4" spans="2:7" ht="17" x14ac:dyDescent="0.2">
      <c r="B4" s="24" t="s">
        <v>7</v>
      </c>
      <c r="C4" s="44" t="s">
        <v>28</v>
      </c>
      <c r="D4" s="43" t="s">
        <v>29</v>
      </c>
      <c r="E4" s="18">
        <v>3</v>
      </c>
      <c r="F4" s="18">
        <v>100</v>
      </c>
      <c r="G4" s="35">
        <v>50</v>
      </c>
    </row>
    <row r="5" spans="2:7" ht="17" x14ac:dyDescent="0.2">
      <c r="B5" s="1"/>
      <c r="C5" s="11" t="s">
        <v>42</v>
      </c>
      <c r="D5" s="23" t="s">
        <v>43</v>
      </c>
      <c r="E5" s="11">
        <v>1</v>
      </c>
      <c r="F5" s="11">
        <v>100</v>
      </c>
      <c r="G5" s="36">
        <v>50</v>
      </c>
    </row>
    <row r="6" spans="2:7" x14ac:dyDescent="0.2">
      <c r="B6" s="1"/>
      <c r="C6" s="11" t="s">
        <v>42</v>
      </c>
      <c r="D6" s="23"/>
      <c r="E6" s="11">
        <v>1</v>
      </c>
      <c r="F6" s="11">
        <v>100</v>
      </c>
      <c r="G6" s="36">
        <v>70</v>
      </c>
    </row>
    <row r="7" spans="2:7" ht="17" thickBot="1" x14ac:dyDescent="0.25">
      <c r="B7" s="1"/>
      <c r="C7" s="12"/>
      <c r="D7" s="30"/>
      <c r="E7" s="29"/>
      <c r="F7" s="12"/>
      <c r="G7" s="37"/>
    </row>
    <row r="8" spans="2:7" ht="17" thickBot="1" x14ac:dyDescent="0.25">
      <c r="B8" s="5"/>
      <c r="C8" s="15" t="s">
        <v>11</v>
      </c>
      <c r="D8" s="32"/>
      <c r="E8" s="33"/>
      <c r="F8" s="14"/>
      <c r="G8" s="28">
        <f>+SUMPRODUCT(G4:G7,E4:E7)/SUMPRODUCT(F4:F7,E4:E7)*100</f>
        <v>54</v>
      </c>
    </row>
    <row r="9" spans="2:7" ht="17" thickBot="1" x14ac:dyDescent="0.25">
      <c r="B9" s="3"/>
      <c r="C9" s="19"/>
      <c r="D9" s="31"/>
      <c r="E9" s="19"/>
      <c r="F9" s="19"/>
      <c r="G9" s="38"/>
    </row>
    <row r="10" spans="2:7" x14ac:dyDescent="0.2">
      <c r="B10" s="24" t="s">
        <v>8</v>
      </c>
      <c r="C10" s="18" t="s">
        <v>42</v>
      </c>
      <c r="D10" s="23"/>
      <c r="E10" s="18">
        <v>1</v>
      </c>
      <c r="F10" s="18">
        <v>100</v>
      </c>
      <c r="G10" s="35">
        <v>90</v>
      </c>
    </row>
    <row r="11" spans="2:7" x14ac:dyDescent="0.2">
      <c r="B11" s="1"/>
      <c r="C11" s="11" t="s">
        <v>42</v>
      </c>
      <c r="D11" s="23"/>
      <c r="E11" s="11">
        <v>1</v>
      </c>
      <c r="F11" s="11">
        <v>100</v>
      </c>
      <c r="G11" s="36">
        <v>80</v>
      </c>
    </row>
    <row r="12" spans="2:7" x14ac:dyDescent="0.2">
      <c r="B12" s="1"/>
      <c r="C12" s="11" t="s">
        <v>42</v>
      </c>
      <c r="D12" s="23"/>
      <c r="E12" s="11">
        <v>1</v>
      </c>
      <c r="F12" s="11">
        <v>100</v>
      </c>
      <c r="G12" s="36">
        <v>70</v>
      </c>
    </row>
    <row r="13" spans="2:7" ht="17" thickBot="1" x14ac:dyDescent="0.25">
      <c r="B13" s="1"/>
      <c r="C13" s="12"/>
      <c r="D13" s="30"/>
      <c r="E13" s="12"/>
      <c r="F13" s="12"/>
      <c r="G13" s="37"/>
    </row>
    <row r="14" spans="2:7" ht="17" thickBot="1" x14ac:dyDescent="0.25">
      <c r="B14" s="5"/>
      <c r="C14" s="15" t="s">
        <v>25</v>
      </c>
      <c r="D14" s="32"/>
      <c r="E14" s="34"/>
      <c r="F14" s="16"/>
      <c r="G14" s="17">
        <f>+SUMPRODUCT(G10:G13,E10:E13)/SUMPRODUCT(F10:F13,E10:E13)*100</f>
        <v>80</v>
      </c>
    </row>
    <row r="15" spans="2:7" ht="17" thickBot="1" x14ac:dyDescent="0.25">
      <c r="B15" s="3"/>
      <c r="C15" s="19"/>
      <c r="D15" s="31"/>
      <c r="E15" s="19"/>
      <c r="F15" s="19"/>
      <c r="G15" s="39"/>
    </row>
    <row r="16" spans="2:7" x14ac:dyDescent="0.2">
      <c r="B16" s="24" t="s">
        <v>9</v>
      </c>
      <c r="C16" s="18" t="s">
        <v>42</v>
      </c>
      <c r="D16" s="22"/>
      <c r="E16" s="18">
        <v>1</v>
      </c>
      <c r="F16" s="18">
        <v>100</v>
      </c>
      <c r="G16" s="35">
        <v>80</v>
      </c>
    </row>
    <row r="17" spans="1:7" x14ac:dyDescent="0.2">
      <c r="B17" s="1"/>
      <c r="C17" s="11" t="s">
        <v>42</v>
      </c>
      <c r="D17" s="23"/>
      <c r="E17" s="11">
        <v>1</v>
      </c>
      <c r="F17" s="11">
        <v>100</v>
      </c>
      <c r="G17" s="36">
        <v>70</v>
      </c>
    </row>
    <row r="18" spans="1:7" x14ac:dyDescent="0.2">
      <c r="B18" s="1"/>
      <c r="C18" s="11" t="s">
        <v>42</v>
      </c>
      <c r="D18" s="23"/>
      <c r="E18" s="11">
        <v>1</v>
      </c>
      <c r="F18" s="11">
        <v>100</v>
      </c>
      <c r="G18" s="36">
        <v>60</v>
      </c>
    </row>
    <row r="19" spans="1:7" ht="17" thickBot="1" x14ac:dyDescent="0.25">
      <c r="B19" s="1"/>
      <c r="C19" s="12"/>
      <c r="D19" s="30"/>
      <c r="E19" s="12"/>
      <c r="F19" s="12"/>
      <c r="G19" s="37"/>
    </row>
    <row r="20" spans="1:7" ht="17" thickBot="1" x14ac:dyDescent="0.25">
      <c r="B20" s="5"/>
      <c r="C20" s="15" t="s">
        <v>26</v>
      </c>
      <c r="D20" s="32"/>
      <c r="E20" s="34"/>
      <c r="F20" s="16"/>
      <c r="G20" s="42">
        <f>+SUMPRODUCT(G16:G19,E16:E19)/SUMPRODUCT(F16:F19,E16:E19)*100</f>
        <v>70</v>
      </c>
    </row>
    <row r="21" spans="1:7" ht="17" thickBot="1" x14ac:dyDescent="0.25">
      <c r="B21" s="3"/>
      <c r="C21" s="19"/>
      <c r="D21" s="31"/>
      <c r="E21" s="19"/>
      <c r="F21" s="19"/>
      <c r="G21" s="39"/>
    </row>
    <row r="22" spans="1:7" x14ac:dyDescent="0.2">
      <c r="B22" s="24" t="s">
        <v>10</v>
      </c>
      <c r="C22" s="18" t="s">
        <v>42</v>
      </c>
      <c r="D22" s="22"/>
      <c r="E22" s="18">
        <v>1</v>
      </c>
      <c r="F22" s="18">
        <v>100</v>
      </c>
      <c r="G22" s="35">
        <v>70</v>
      </c>
    </row>
    <row r="23" spans="1:7" x14ac:dyDescent="0.2">
      <c r="B23" s="1"/>
      <c r="C23" s="11" t="s">
        <v>42</v>
      </c>
      <c r="D23" s="23"/>
      <c r="E23" s="11">
        <v>1</v>
      </c>
      <c r="F23" s="11">
        <v>100</v>
      </c>
      <c r="G23" s="36">
        <v>60</v>
      </c>
    </row>
    <row r="24" spans="1:7" x14ac:dyDescent="0.2">
      <c r="B24" s="1"/>
      <c r="C24" s="11" t="s">
        <v>42</v>
      </c>
      <c r="D24" s="23"/>
      <c r="E24" s="11">
        <v>1</v>
      </c>
      <c r="F24" s="11">
        <v>100</v>
      </c>
      <c r="G24" s="36">
        <v>50</v>
      </c>
    </row>
    <row r="25" spans="1:7" ht="17" thickBot="1" x14ac:dyDescent="0.25">
      <c r="B25" s="1"/>
      <c r="C25" s="12"/>
      <c r="D25" s="30"/>
      <c r="E25" s="12"/>
      <c r="F25" s="12"/>
      <c r="G25" s="37"/>
    </row>
    <row r="26" spans="1:7" ht="17" thickBot="1" x14ac:dyDescent="0.25">
      <c r="B26" s="6"/>
      <c r="C26" s="15" t="s">
        <v>27</v>
      </c>
      <c r="D26" s="32"/>
      <c r="E26" s="34"/>
      <c r="F26" s="16"/>
      <c r="G26" s="17">
        <f>+SUMPRODUCT(G22:G25,E22:E25)/SUMPRODUCT(F22:F25,E22:E25)*100</f>
        <v>60</v>
      </c>
    </row>
    <row r="27" spans="1:7" x14ac:dyDescent="0.2">
      <c r="C27" s="20"/>
      <c r="E27" s="21"/>
      <c r="F27" s="20"/>
      <c r="G27" s="20"/>
    </row>
    <row r="28" spans="1:7" ht="17" thickBot="1" x14ac:dyDescent="0.25">
      <c r="C28" s="20"/>
      <c r="E28" s="21"/>
      <c r="F28" s="20"/>
      <c r="G28" s="20"/>
    </row>
    <row r="29" spans="1:7" ht="17" thickBot="1" x14ac:dyDescent="0.25">
      <c r="B29" s="7" t="s">
        <v>6</v>
      </c>
      <c r="C29" s="13"/>
      <c r="D29" s="8"/>
      <c r="E29" s="13"/>
      <c r="F29" s="13"/>
      <c r="G29" s="17">
        <f>+(G8+G14+G20+G26)/4</f>
        <v>66</v>
      </c>
    </row>
    <row r="30" spans="1:7" ht="17" thickBot="1" x14ac:dyDescent="0.25"/>
    <row r="31" spans="1:7" ht="17" thickBot="1" x14ac:dyDescent="0.25">
      <c r="A31" s="54" t="s">
        <v>45</v>
      </c>
      <c r="B31" s="52" t="s">
        <v>35</v>
      </c>
      <c r="C31" s="53" t="s">
        <v>36</v>
      </c>
    </row>
    <row r="32" spans="1:7" x14ac:dyDescent="0.2">
      <c r="B32" s="47">
        <v>1</v>
      </c>
      <c r="C32" s="46" t="s">
        <v>37</v>
      </c>
    </row>
    <row r="33" spans="1:3" x14ac:dyDescent="0.2">
      <c r="B33" s="48">
        <v>2</v>
      </c>
      <c r="C33" s="2" t="s">
        <v>40</v>
      </c>
    </row>
    <row r="34" spans="1:3" ht="17" thickBot="1" x14ac:dyDescent="0.25">
      <c r="B34" s="49">
        <v>3</v>
      </c>
      <c r="C34" s="4" t="s">
        <v>38</v>
      </c>
    </row>
    <row r="35" spans="1:3" ht="17" thickBot="1" x14ac:dyDescent="0.25"/>
    <row r="36" spans="1:3" ht="17" thickBot="1" x14ac:dyDescent="0.25">
      <c r="A36" t="s">
        <v>50</v>
      </c>
      <c r="B36" s="50" t="s">
        <v>1</v>
      </c>
      <c r="C36" s="51" t="s">
        <v>46</v>
      </c>
    </row>
    <row r="37" spans="1:3" x14ac:dyDescent="0.2">
      <c r="B37" s="47" t="s">
        <v>4</v>
      </c>
      <c r="C37" s="55" t="s">
        <v>47</v>
      </c>
    </row>
    <row r="38" spans="1:3" x14ac:dyDescent="0.2">
      <c r="B38" s="48" t="s">
        <v>52</v>
      </c>
      <c r="C38" s="56" t="s">
        <v>48</v>
      </c>
    </row>
    <row r="39" spans="1:3" ht="17" thickBot="1" x14ac:dyDescent="0.25">
      <c r="B39" s="49" t="s">
        <v>5</v>
      </c>
      <c r="C39" s="57" t="s">
        <v>49</v>
      </c>
    </row>
  </sheetData>
  <conditionalFormatting sqref="G4:G6 G8 G10:G12 G14 G16:G18 G20 G22:G24 G26 G29">
    <cfRule type="cellIs" dxfId="20" priority="65" operator="greaterThan">
      <formula>79</formula>
    </cfRule>
    <cfRule type="cellIs" dxfId="19" priority="66" operator="between">
      <formula>60</formula>
      <formula>80</formula>
    </cfRule>
    <cfRule type="cellIs" dxfId="18" priority="67" operator="greaterThan">
      <formula>69</formula>
    </cfRule>
    <cfRule type="cellIs" dxfId="17" priority="68" operator="greaterThan">
      <formula>70</formula>
    </cfRule>
    <cfRule type="cellIs" dxfId="16" priority="69" operator="between">
      <formula>60</formula>
      <formula>69</formula>
    </cfRule>
    <cfRule type="cellIs" dxfId="15" priority="71" operator="between">
      <formula>61</formula>
      <formula>69</formula>
    </cfRule>
    <cfRule type="cellIs" dxfId="14" priority="72" operator="lessThan">
      <formula>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6421-C964-8041-B7DC-EF019F92D346}">
  <dimension ref="A2:G39"/>
  <sheetViews>
    <sheetView zoomScale="110" zoomScaleNormal="110" workbookViewId="0">
      <pane xSplit="3" ySplit="3" topLeftCell="D12" activePane="bottomRight" state="frozen"/>
      <selection pane="topRight" activeCell="D1" sqref="D1"/>
      <selection pane="bottomLeft" activeCell="A4" sqref="A4"/>
      <selection pane="bottomRight" activeCell="H27" sqref="H27"/>
    </sheetView>
  </sheetViews>
  <sheetFormatPr baseColWidth="10" defaultRowHeight="16" x14ac:dyDescent="0.2"/>
  <cols>
    <col min="1" max="1" width="4.33203125" customWidth="1"/>
    <col min="2" max="2" width="19.1640625" bestFit="1" customWidth="1"/>
    <col min="3" max="3" width="33" bestFit="1" customWidth="1"/>
    <col min="4" max="4" width="49.83203125" bestFit="1" customWidth="1"/>
    <col min="5" max="5" width="11" customWidth="1"/>
    <col min="6" max="6" width="5.33203125" hidden="1" customWidth="1"/>
    <col min="7" max="7" width="8.6640625" bestFit="1" customWidth="1"/>
  </cols>
  <sheetData>
    <row r="2" spans="2:7" ht="17" thickBot="1" x14ac:dyDescent="0.25"/>
    <row r="3" spans="2:7" ht="17" thickBot="1" x14ac:dyDescent="0.25">
      <c r="B3" s="25" t="s">
        <v>0</v>
      </c>
      <c r="C3" s="26" t="s">
        <v>41</v>
      </c>
      <c r="D3" s="27" t="s">
        <v>12</v>
      </c>
      <c r="E3" s="26" t="s">
        <v>44</v>
      </c>
      <c r="F3" s="26" t="s">
        <v>2</v>
      </c>
      <c r="G3" s="27" t="s">
        <v>51</v>
      </c>
    </row>
    <row r="4" spans="2:7" ht="17" x14ac:dyDescent="0.2">
      <c r="B4" s="24" t="s">
        <v>7</v>
      </c>
      <c r="C4" s="44" t="s">
        <v>28</v>
      </c>
      <c r="D4" s="43" t="s">
        <v>29</v>
      </c>
      <c r="E4" s="18">
        <v>3</v>
      </c>
      <c r="F4" s="18">
        <v>100</v>
      </c>
      <c r="G4" s="35">
        <v>50</v>
      </c>
    </row>
    <row r="5" spans="2:7" ht="17" x14ac:dyDescent="0.2">
      <c r="B5" s="1"/>
      <c r="C5" s="11" t="s">
        <v>42</v>
      </c>
      <c r="D5" s="23" t="s">
        <v>43</v>
      </c>
      <c r="E5" s="11">
        <v>1</v>
      </c>
      <c r="F5" s="11">
        <v>100</v>
      </c>
      <c r="G5" s="36">
        <v>50</v>
      </c>
    </row>
    <row r="6" spans="2:7" x14ac:dyDescent="0.2">
      <c r="B6" s="1"/>
      <c r="C6" s="11" t="s">
        <v>42</v>
      </c>
      <c r="D6" s="23"/>
      <c r="E6" s="11">
        <v>1</v>
      </c>
      <c r="F6" s="11">
        <v>100</v>
      </c>
      <c r="G6" s="36">
        <v>70</v>
      </c>
    </row>
    <row r="7" spans="2:7" ht="17" thickBot="1" x14ac:dyDescent="0.25">
      <c r="B7" s="1"/>
      <c r="C7" s="12"/>
      <c r="D7" s="30"/>
      <c r="E7" s="29"/>
      <c r="F7" s="12"/>
      <c r="G7" s="37"/>
    </row>
    <row r="8" spans="2:7" ht="17" thickBot="1" x14ac:dyDescent="0.25">
      <c r="B8" s="5"/>
      <c r="C8" s="15" t="s">
        <v>11</v>
      </c>
      <c r="D8" s="32"/>
      <c r="E8" s="33"/>
      <c r="F8" s="14"/>
      <c r="G8" s="28">
        <f>+SUMPRODUCT(G4:G7,E4:E7)/SUMPRODUCT(F4:F7,E4:E7)*100</f>
        <v>54</v>
      </c>
    </row>
    <row r="9" spans="2:7" ht="17" thickBot="1" x14ac:dyDescent="0.25">
      <c r="B9" s="3"/>
      <c r="C9" s="19"/>
      <c r="D9" s="31"/>
      <c r="E9" s="19"/>
      <c r="F9" s="19"/>
      <c r="G9" s="38"/>
    </row>
    <row r="10" spans="2:7" x14ac:dyDescent="0.2">
      <c r="B10" s="24" t="s">
        <v>8</v>
      </c>
      <c r="C10" s="18" t="s">
        <v>42</v>
      </c>
      <c r="D10" s="23"/>
      <c r="E10" s="18">
        <v>1</v>
      </c>
      <c r="F10" s="18">
        <v>100</v>
      </c>
      <c r="G10" s="35">
        <v>90</v>
      </c>
    </row>
    <row r="11" spans="2:7" x14ac:dyDescent="0.2">
      <c r="B11" s="1"/>
      <c r="C11" s="11" t="s">
        <v>42</v>
      </c>
      <c r="D11" s="23"/>
      <c r="E11" s="11">
        <v>1</v>
      </c>
      <c r="F11" s="11">
        <v>100</v>
      </c>
      <c r="G11" s="36">
        <v>80</v>
      </c>
    </row>
    <row r="12" spans="2:7" x14ac:dyDescent="0.2">
      <c r="B12" s="1"/>
      <c r="C12" s="11" t="s">
        <v>42</v>
      </c>
      <c r="D12" s="23"/>
      <c r="E12" s="11">
        <v>1</v>
      </c>
      <c r="F12" s="11">
        <v>100</v>
      </c>
      <c r="G12" s="36">
        <v>70</v>
      </c>
    </row>
    <row r="13" spans="2:7" ht="17" thickBot="1" x14ac:dyDescent="0.25">
      <c r="B13" s="1"/>
      <c r="C13" s="12"/>
      <c r="D13" s="30"/>
      <c r="E13" s="12"/>
      <c r="F13" s="12"/>
      <c r="G13" s="37"/>
    </row>
    <row r="14" spans="2:7" ht="17" thickBot="1" x14ac:dyDescent="0.25">
      <c r="B14" s="5"/>
      <c r="C14" s="15" t="s">
        <v>25</v>
      </c>
      <c r="D14" s="32"/>
      <c r="E14" s="34"/>
      <c r="F14" s="16"/>
      <c r="G14" s="17">
        <f>+SUMPRODUCT(G10:G13,E10:E13)/SUMPRODUCT(F10:F13,E10:E13)*100</f>
        <v>80</v>
      </c>
    </row>
    <row r="15" spans="2:7" ht="17" thickBot="1" x14ac:dyDescent="0.25">
      <c r="B15" s="3"/>
      <c r="C15" s="19"/>
      <c r="D15" s="31"/>
      <c r="E15" s="19"/>
      <c r="F15" s="19"/>
      <c r="G15" s="39"/>
    </row>
    <row r="16" spans="2:7" x14ac:dyDescent="0.2">
      <c r="B16" s="24" t="s">
        <v>9</v>
      </c>
      <c r="C16" s="18" t="s">
        <v>42</v>
      </c>
      <c r="D16" s="22"/>
      <c r="E16" s="18">
        <v>1</v>
      </c>
      <c r="F16" s="18">
        <v>100</v>
      </c>
      <c r="G16" s="35">
        <v>80</v>
      </c>
    </row>
    <row r="17" spans="1:7" x14ac:dyDescent="0.2">
      <c r="B17" s="1"/>
      <c r="C17" s="11" t="s">
        <v>42</v>
      </c>
      <c r="D17" s="23"/>
      <c r="E17" s="11">
        <v>1</v>
      </c>
      <c r="F17" s="11">
        <v>100</v>
      </c>
      <c r="G17" s="36">
        <v>70</v>
      </c>
    </row>
    <row r="18" spans="1:7" x14ac:dyDescent="0.2">
      <c r="B18" s="1"/>
      <c r="C18" s="11" t="s">
        <v>42</v>
      </c>
      <c r="D18" s="23"/>
      <c r="E18" s="11">
        <v>1</v>
      </c>
      <c r="F18" s="11">
        <v>100</v>
      </c>
      <c r="G18" s="36">
        <v>60</v>
      </c>
    </row>
    <row r="19" spans="1:7" ht="17" thickBot="1" x14ac:dyDescent="0.25">
      <c r="B19" s="1"/>
      <c r="C19" s="12"/>
      <c r="D19" s="30"/>
      <c r="E19" s="12"/>
      <c r="F19" s="12"/>
      <c r="G19" s="37"/>
    </row>
    <row r="20" spans="1:7" ht="17" thickBot="1" x14ac:dyDescent="0.25">
      <c r="B20" s="5"/>
      <c r="C20" s="15" t="s">
        <v>26</v>
      </c>
      <c r="D20" s="32"/>
      <c r="E20" s="34"/>
      <c r="F20" s="16"/>
      <c r="G20" s="42">
        <f>+SUMPRODUCT(G16:G19,E16:E19)/SUMPRODUCT(F16:F19,E16:E19)*100</f>
        <v>70</v>
      </c>
    </row>
    <row r="21" spans="1:7" ht="17" thickBot="1" x14ac:dyDescent="0.25">
      <c r="B21" s="3"/>
      <c r="C21" s="19"/>
      <c r="D21" s="31"/>
      <c r="E21" s="19"/>
      <c r="F21" s="19"/>
      <c r="G21" s="39"/>
    </row>
    <row r="22" spans="1:7" x14ac:dyDescent="0.2">
      <c r="B22" s="24" t="s">
        <v>10</v>
      </c>
      <c r="C22" s="18" t="s">
        <v>42</v>
      </c>
      <c r="D22" s="22"/>
      <c r="E22" s="18">
        <v>1</v>
      </c>
      <c r="F22" s="18">
        <v>100</v>
      </c>
      <c r="G22" s="35">
        <v>70</v>
      </c>
    </row>
    <row r="23" spans="1:7" x14ac:dyDescent="0.2">
      <c r="B23" s="1"/>
      <c r="C23" s="11" t="s">
        <v>42</v>
      </c>
      <c r="D23" s="23"/>
      <c r="E23" s="11">
        <v>1</v>
      </c>
      <c r="F23" s="11">
        <v>100</v>
      </c>
      <c r="G23" s="36">
        <v>60</v>
      </c>
    </row>
    <row r="24" spans="1:7" x14ac:dyDescent="0.2">
      <c r="B24" s="1"/>
      <c r="C24" s="11" t="s">
        <v>42</v>
      </c>
      <c r="D24" s="23"/>
      <c r="E24" s="11">
        <v>1</v>
      </c>
      <c r="F24" s="11">
        <v>100</v>
      </c>
      <c r="G24" s="36">
        <v>50</v>
      </c>
    </row>
    <row r="25" spans="1:7" ht="17" thickBot="1" x14ac:dyDescent="0.25">
      <c r="B25" s="1"/>
      <c r="C25" s="12"/>
      <c r="D25" s="30"/>
      <c r="E25" s="12"/>
      <c r="F25" s="12"/>
      <c r="G25" s="37"/>
    </row>
    <row r="26" spans="1:7" ht="17" thickBot="1" x14ac:dyDescent="0.25">
      <c r="B26" s="6"/>
      <c r="C26" s="15" t="s">
        <v>27</v>
      </c>
      <c r="D26" s="32"/>
      <c r="E26" s="34"/>
      <c r="F26" s="16"/>
      <c r="G26" s="17">
        <f>+SUMPRODUCT(G22:G25,E22:E25)/SUMPRODUCT(F22:F25,E22:E25)*100</f>
        <v>60</v>
      </c>
    </row>
    <row r="27" spans="1:7" x14ac:dyDescent="0.2">
      <c r="C27" s="20"/>
      <c r="E27" s="21"/>
      <c r="F27" s="20"/>
      <c r="G27" s="20"/>
    </row>
    <row r="28" spans="1:7" ht="17" thickBot="1" x14ac:dyDescent="0.25">
      <c r="C28" s="20"/>
      <c r="E28" s="21"/>
      <c r="F28" s="20"/>
      <c r="G28" s="20"/>
    </row>
    <row r="29" spans="1:7" ht="17" thickBot="1" x14ac:dyDescent="0.25">
      <c r="B29" s="7" t="s">
        <v>6</v>
      </c>
      <c r="C29" s="13"/>
      <c r="D29" s="8"/>
      <c r="E29" s="13"/>
      <c r="F29" s="13"/>
      <c r="G29" s="17">
        <f>+(G8+G14+G20+G26)/4</f>
        <v>66</v>
      </c>
    </row>
    <row r="30" spans="1:7" ht="17" thickBot="1" x14ac:dyDescent="0.25"/>
    <row r="31" spans="1:7" ht="17" thickBot="1" x14ac:dyDescent="0.25">
      <c r="A31" s="54" t="s">
        <v>45</v>
      </c>
      <c r="B31" s="52" t="s">
        <v>35</v>
      </c>
      <c r="C31" s="53" t="s">
        <v>36</v>
      </c>
    </row>
    <row r="32" spans="1:7" x14ac:dyDescent="0.2">
      <c r="B32" s="47">
        <v>1</v>
      </c>
      <c r="C32" s="46" t="s">
        <v>37</v>
      </c>
    </row>
    <row r="33" spans="1:3" x14ac:dyDescent="0.2">
      <c r="B33" s="48">
        <v>2</v>
      </c>
      <c r="C33" s="2" t="s">
        <v>40</v>
      </c>
    </row>
    <row r="34" spans="1:3" ht="17" thickBot="1" x14ac:dyDescent="0.25">
      <c r="B34" s="49">
        <v>3</v>
      </c>
      <c r="C34" s="4" t="s">
        <v>38</v>
      </c>
    </row>
    <row r="35" spans="1:3" ht="17" thickBot="1" x14ac:dyDescent="0.25"/>
    <row r="36" spans="1:3" ht="17" thickBot="1" x14ac:dyDescent="0.25">
      <c r="A36" t="s">
        <v>50</v>
      </c>
      <c r="B36" s="50" t="s">
        <v>1</v>
      </c>
      <c r="C36" s="51" t="s">
        <v>46</v>
      </c>
    </row>
    <row r="37" spans="1:3" x14ac:dyDescent="0.2">
      <c r="B37" s="47" t="s">
        <v>4</v>
      </c>
      <c r="C37" s="55" t="s">
        <v>47</v>
      </c>
    </row>
    <row r="38" spans="1:3" x14ac:dyDescent="0.2">
      <c r="B38" s="48" t="s">
        <v>52</v>
      </c>
      <c r="C38" s="56" t="s">
        <v>48</v>
      </c>
    </row>
    <row r="39" spans="1:3" ht="17" thickBot="1" x14ac:dyDescent="0.25">
      <c r="B39" s="49" t="s">
        <v>5</v>
      </c>
      <c r="C39" s="57" t="s">
        <v>49</v>
      </c>
    </row>
  </sheetData>
  <conditionalFormatting sqref="G4:G6 G8 G10:G12 G14 G16:G18 G20 G22:G24 G26 G29">
    <cfRule type="cellIs" dxfId="13" priority="1" operator="greaterThan">
      <formula>79</formula>
    </cfRule>
    <cfRule type="cellIs" dxfId="12" priority="2" operator="between">
      <formula>60</formula>
      <formula>80</formula>
    </cfRule>
    <cfRule type="cellIs" dxfId="11" priority="3" operator="greaterThan">
      <formula>69</formula>
    </cfRule>
    <cfRule type="cellIs" dxfId="10" priority="4" operator="greaterThan">
      <formula>70</formula>
    </cfRule>
    <cfRule type="cellIs" dxfId="9" priority="5" operator="between">
      <formula>60</formula>
      <formula>69</formula>
    </cfRule>
    <cfRule type="cellIs" dxfId="8" priority="6" operator="between">
      <formula>61</formula>
      <formula>69</formula>
    </cfRule>
    <cfRule type="cellIs" dxfId="7" priority="7" operator="lessThan">
      <formula>60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06C6-DD58-3549-9A7B-1898190D1D93}">
  <dimension ref="A2:G39"/>
  <sheetViews>
    <sheetView zoomScale="110" zoomScaleNormal="11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4" sqref="G14"/>
    </sheetView>
  </sheetViews>
  <sheetFormatPr baseColWidth="10" defaultRowHeight="16" x14ac:dyDescent="0.2"/>
  <cols>
    <col min="1" max="1" width="4.33203125" customWidth="1"/>
    <col min="2" max="2" width="19.1640625" bestFit="1" customWidth="1"/>
    <col min="3" max="3" width="33" bestFit="1" customWidth="1"/>
    <col min="4" max="4" width="49.83203125" bestFit="1" customWidth="1"/>
    <col min="5" max="5" width="11" customWidth="1"/>
    <col min="6" max="6" width="5.33203125" hidden="1" customWidth="1"/>
    <col min="7" max="7" width="7.5" bestFit="1" customWidth="1"/>
  </cols>
  <sheetData>
    <row r="2" spans="2:7" ht="17" thickBot="1" x14ac:dyDescent="0.25"/>
    <row r="3" spans="2:7" ht="17" thickBot="1" x14ac:dyDescent="0.25">
      <c r="B3" s="25" t="s">
        <v>0</v>
      </c>
      <c r="C3" s="26" t="s">
        <v>41</v>
      </c>
      <c r="D3" s="27" t="s">
        <v>12</v>
      </c>
      <c r="E3" s="26" t="s">
        <v>44</v>
      </c>
      <c r="F3" s="26" t="s">
        <v>2</v>
      </c>
      <c r="G3" s="27" t="s">
        <v>51</v>
      </c>
    </row>
    <row r="4" spans="2:7" ht="17" x14ac:dyDescent="0.2">
      <c r="B4" s="24" t="s">
        <v>7</v>
      </c>
      <c r="C4" s="44" t="s">
        <v>28</v>
      </c>
      <c r="D4" s="43" t="s">
        <v>29</v>
      </c>
      <c r="E4" s="18">
        <v>3</v>
      </c>
      <c r="F4" s="18">
        <v>100</v>
      </c>
      <c r="G4" s="35">
        <v>55</v>
      </c>
    </row>
    <row r="5" spans="2:7" ht="17" x14ac:dyDescent="0.2">
      <c r="B5" s="1"/>
      <c r="C5" s="11" t="s">
        <v>42</v>
      </c>
      <c r="D5" s="23" t="s">
        <v>43</v>
      </c>
      <c r="E5" s="11">
        <v>1</v>
      </c>
      <c r="F5" s="11">
        <v>100</v>
      </c>
      <c r="G5" s="36">
        <v>50</v>
      </c>
    </row>
    <row r="6" spans="2:7" x14ac:dyDescent="0.2">
      <c r="B6" s="1"/>
      <c r="C6" s="11" t="s">
        <v>42</v>
      </c>
      <c r="D6" s="23"/>
      <c r="E6" s="11">
        <v>1</v>
      </c>
      <c r="F6" s="11">
        <v>100</v>
      </c>
      <c r="G6" s="36">
        <v>60</v>
      </c>
    </row>
    <row r="7" spans="2:7" ht="17" thickBot="1" x14ac:dyDescent="0.25">
      <c r="B7" s="1"/>
      <c r="C7" s="12"/>
      <c r="D7" s="30"/>
      <c r="E7" s="29"/>
      <c r="F7" s="12"/>
      <c r="G7" s="37"/>
    </row>
    <row r="8" spans="2:7" ht="17" thickBot="1" x14ac:dyDescent="0.25">
      <c r="B8" s="5"/>
      <c r="C8" s="15" t="s">
        <v>11</v>
      </c>
      <c r="D8" s="32"/>
      <c r="E8" s="33"/>
      <c r="F8" s="14"/>
      <c r="G8" s="28">
        <f>+SUMPRODUCT(G4:G7,E4:E7)/SUMPRODUCT(F4:F7,E4:E7)*100</f>
        <v>55.000000000000007</v>
      </c>
    </row>
    <row r="9" spans="2:7" ht="17" thickBot="1" x14ac:dyDescent="0.25">
      <c r="B9" s="3"/>
      <c r="C9" s="19"/>
      <c r="D9" s="31"/>
      <c r="E9" s="19"/>
      <c r="F9" s="19"/>
      <c r="G9" s="38"/>
    </row>
    <row r="10" spans="2:7" x14ac:dyDescent="0.2">
      <c r="B10" s="24" t="s">
        <v>8</v>
      </c>
      <c r="C10" s="18" t="s">
        <v>42</v>
      </c>
      <c r="D10" s="23"/>
      <c r="E10" s="18">
        <v>1</v>
      </c>
      <c r="F10" s="18">
        <v>100</v>
      </c>
      <c r="G10" s="35">
        <v>70</v>
      </c>
    </row>
    <row r="11" spans="2:7" x14ac:dyDescent="0.2">
      <c r="B11" s="1"/>
      <c r="C11" s="11" t="s">
        <v>42</v>
      </c>
      <c r="D11" s="23"/>
      <c r="E11" s="11">
        <v>1</v>
      </c>
      <c r="F11" s="11">
        <v>100</v>
      </c>
      <c r="G11" s="36">
        <v>80</v>
      </c>
    </row>
    <row r="12" spans="2:7" x14ac:dyDescent="0.2">
      <c r="B12" s="1"/>
      <c r="C12" s="11" t="s">
        <v>42</v>
      </c>
      <c r="D12" s="23"/>
      <c r="E12" s="11">
        <v>1</v>
      </c>
      <c r="F12" s="11">
        <v>100</v>
      </c>
      <c r="G12" s="36">
        <v>70</v>
      </c>
    </row>
    <row r="13" spans="2:7" ht="17" thickBot="1" x14ac:dyDescent="0.25">
      <c r="B13" s="1"/>
      <c r="C13" s="12"/>
      <c r="D13" s="30"/>
      <c r="E13" s="12"/>
      <c r="F13" s="12"/>
      <c r="G13" s="37"/>
    </row>
    <row r="14" spans="2:7" ht="17" thickBot="1" x14ac:dyDescent="0.25">
      <c r="B14" s="5"/>
      <c r="C14" s="15" t="s">
        <v>25</v>
      </c>
      <c r="D14" s="32"/>
      <c r="E14" s="34"/>
      <c r="F14" s="16"/>
      <c r="G14" s="42">
        <f>+SUMPRODUCT(G10:G13,E10:E13)/SUMPRODUCT(F10:F13,E10:E13)*100</f>
        <v>73.333333333333329</v>
      </c>
    </row>
    <row r="15" spans="2:7" ht="17" thickBot="1" x14ac:dyDescent="0.25">
      <c r="B15" s="3"/>
      <c r="C15" s="19"/>
      <c r="D15" s="31"/>
      <c r="E15" s="19"/>
      <c r="F15" s="19"/>
      <c r="G15" s="39"/>
    </row>
    <row r="16" spans="2:7" x14ac:dyDescent="0.2">
      <c r="B16" s="24" t="s">
        <v>9</v>
      </c>
      <c r="C16" s="18" t="s">
        <v>42</v>
      </c>
      <c r="D16" s="22"/>
      <c r="E16" s="18">
        <v>1</v>
      </c>
      <c r="F16" s="18">
        <v>100</v>
      </c>
      <c r="G16" s="35">
        <v>80</v>
      </c>
    </row>
    <row r="17" spans="1:7" x14ac:dyDescent="0.2">
      <c r="B17" s="1"/>
      <c r="C17" s="11" t="s">
        <v>42</v>
      </c>
      <c r="D17" s="23"/>
      <c r="E17" s="11">
        <v>1</v>
      </c>
      <c r="F17" s="11">
        <v>100</v>
      </c>
      <c r="G17" s="36">
        <v>70</v>
      </c>
    </row>
    <row r="18" spans="1:7" x14ac:dyDescent="0.2">
      <c r="B18" s="1"/>
      <c r="C18" s="11" t="s">
        <v>42</v>
      </c>
      <c r="D18" s="23"/>
      <c r="E18" s="11">
        <v>1</v>
      </c>
      <c r="F18" s="11">
        <v>100</v>
      </c>
      <c r="G18" s="36">
        <v>60</v>
      </c>
    </row>
    <row r="19" spans="1:7" ht="17" thickBot="1" x14ac:dyDescent="0.25">
      <c r="B19" s="1"/>
      <c r="C19" s="12"/>
      <c r="D19" s="30"/>
      <c r="E19" s="12"/>
      <c r="F19" s="12"/>
      <c r="G19" s="37"/>
    </row>
    <row r="20" spans="1:7" ht="17" thickBot="1" x14ac:dyDescent="0.25">
      <c r="B20" s="5"/>
      <c r="C20" s="15" t="s">
        <v>26</v>
      </c>
      <c r="D20" s="32"/>
      <c r="E20" s="34"/>
      <c r="F20" s="16"/>
      <c r="G20" s="42">
        <f>+SUMPRODUCT(G16:G19,E16:E19)/SUMPRODUCT(F16:F19,E16:E19)*100</f>
        <v>70</v>
      </c>
    </row>
    <row r="21" spans="1:7" ht="17" thickBot="1" x14ac:dyDescent="0.25">
      <c r="B21" s="3"/>
      <c r="C21" s="19"/>
      <c r="D21" s="31"/>
      <c r="E21" s="19"/>
      <c r="F21" s="19"/>
      <c r="G21" s="39"/>
    </row>
    <row r="22" spans="1:7" x14ac:dyDescent="0.2">
      <c r="B22" s="24" t="s">
        <v>10</v>
      </c>
      <c r="C22" s="18" t="s">
        <v>42</v>
      </c>
      <c r="D22" s="22"/>
      <c r="E22" s="18">
        <v>1</v>
      </c>
      <c r="F22" s="18">
        <v>100</v>
      </c>
      <c r="G22" s="35">
        <v>70</v>
      </c>
    </row>
    <row r="23" spans="1:7" x14ac:dyDescent="0.2">
      <c r="B23" s="1"/>
      <c r="C23" s="11" t="s">
        <v>42</v>
      </c>
      <c r="D23" s="23"/>
      <c r="E23" s="11">
        <v>1</v>
      </c>
      <c r="F23" s="11">
        <v>100</v>
      </c>
      <c r="G23" s="36">
        <v>60</v>
      </c>
    </row>
    <row r="24" spans="1:7" x14ac:dyDescent="0.2">
      <c r="B24" s="1"/>
      <c r="C24" s="11" t="s">
        <v>42</v>
      </c>
      <c r="D24" s="23"/>
      <c r="E24" s="11">
        <v>1</v>
      </c>
      <c r="F24" s="11">
        <v>100</v>
      </c>
      <c r="G24" s="36">
        <v>50</v>
      </c>
    </row>
    <row r="25" spans="1:7" ht="17" thickBot="1" x14ac:dyDescent="0.25">
      <c r="B25" s="1"/>
      <c r="C25" s="12"/>
      <c r="D25" s="30"/>
      <c r="E25" s="12"/>
      <c r="F25" s="12"/>
      <c r="G25" s="37"/>
    </row>
    <row r="26" spans="1:7" ht="17" thickBot="1" x14ac:dyDescent="0.25">
      <c r="B26" s="6"/>
      <c r="C26" s="15" t="s">
        <v>27</v>
      </c>
      <c r="D26" s="32"/>
      <c r="E26" s="34"/>
      <c r="F26" s="16"/>
      <c r="G26" s="17">
        <f>+SUMPRODUCT(G22:G25,E22:E25)/SUMPRODUCT(F22:F25,E22:E25)*100</f>
        <v>60</v>
      </c>
    </row>
    <row r="27" spans="1:7" x14ac:dyDescent="0.2">
      <c r="C27" s="20"/>
      <c r="E27" s="21"/>
      <c r="F27" s="20"/>
      <c r="G27" s="20"/>
    </row>
    <row r="28" spans="1:7" ht="17" thickBot="1" x14ac:dyDescent="0.25">
      <c r="C28" s="20"/>
      <c r="E28" s="21"/>
      <c r="F28" s="20"/>
      <c r="G28" s="20"/>
    </row>
    <row r="29" spans="1:7" ht="17" thickBot="1" x14ac:dyDescent="0.25">
      <c r="B29" s="7" t="s">
        <v>6</v>
      </c>
      <c r="C29" s="13"/>
      <c r="D29" s="8"/>
      <c r="E29" s="13"/>
      <c r="F29" s="13"/>
      <c r="G29" s="42">
        <f>+(G8+G14+G20+G26)/4</f>
        <v>64.583333333333343</v>
      </c>
    </row>
    <row r="30" spans="1:7" ht="17" thickBot="1" x14ac:dyDescent="0.25"/>
    <row r="31" spans="1:7" ht="17" thickBot="1" x14ac:dyDescent="0.25">
      <c r="A31" s="54" t="s">
        <v>45</v>
      </c>
      <c r="B31" s="52" t="s">
        <v>35</v>
      </c>
      <c r="C31" s="53" t="s">
        <v>36</v>
      </c>
    </row>
    <row r="32" spans="1:7" x14ac:dyDescent="0.2">
      <c r="B32" s="47">
        <v>1</v>
      </c>
      <c r="C32" s="46" t="s">
        <v>37</v>
      </c>
    </row>
    <row r="33" spans="1:3" x14ac:dyDescent="0.2">
      <c r="B33" s="48">
        <v>2</v>
      </c>
      <c r="C33" s="2" t="s">
        <v>40</v>
      </c>
    </row>
    <row r="34" spans="1:3" ht="17" thickBot="1" x14ac:dyDescent="0.25">
      <c r="B34" s="49">
        <v>3</v>
      </c>
      <c r="C34" s="4" t="s">
        <v>38</v>
      </c>
    </row>
    <row r="35" spans="1:3" ht="17" thickBot="1" x14ac:dyDescent="0.25"/>
    <row r="36" spans="1:3" ht="17" thickBot="1" x14ac:dyDescent="0.25">
      <c r="A36" t="s">
        <v>50</v>
      </c>
      <c r="B36" s="50" t="s">
        <v>1</v>
      </c>
      <c r="C36" s="51" t="s">
        <v>46</v>
      </c>
    </row>
    <row r="37" spans="1:3" x14ac:dyDescent="0.2">
      <c r="B37" s="47" t="s">
        <v>4</v>
      </c>
      <c r="C37" s="55" t="s">
        <v>47</v>
      </c>
    </row>
    <row r="38" spans="1:3" x14ac:dyDescent="0.2">
      <c r="B38" s="48" t="s">
        <v>52</v>
      </c>
      <c r="C38" s="56" t="s">
        <v>48</v>
      </c>
    </row>
    <row r="39" spans="1:3" ht="17" thickBot="1" x14ac:dyDescent="0.25">
      <c r="B39" s="49" t="s">
        <v>5</v>
      </c>
      <c r="C39" s="57" t="s">
        <v>49</v>
      </c>
    </row>
  </sheetData>
  <conditionalFormatting sqref="G4:G6 G8 G10:G12 G14 G16:G18 G20 G22:G24 G26 G29">
    <cfRule type="cellIs" dxfId="6" priority="1" operator="greaterThan">
      <formula>79</formula>
    </cfRule>
    <cfRule type="cellIs" dxfId="5" priority="2" operator="between">
      <formula>60</formula>
      <formula>80</formula>
    </cfRule>
    <cfRule type="cellIs" dxfId="4" priority="3" operator="greaterThan">
      <formula>69</formula>
    </cfRule>
    <cfRule type="cellIs" dxfId="3" priority="4" operator="greaterThan">
      <formula>70</formula>
    </cfRule>
    <cfRule type="cellIs" dxfId="2" priority="5" operator="between">
      <formula>60</formula>
      <formula>69</formula>
    </cfRule>
    <cfRule type="cellIs" dxfId="1" priority="6" operator="between">
      <formula>61</formula>
      <formula>69</formula>
    </cfRule>
    <cfRule type="cellIs" dxfId="0" priority="7" operator="lessThan">
      <formula>60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391E-7668-F44A-B6D0-FE6B9AC225BC}">
  <dimension ref="A1"/>
  <sheetViews>
    <sheetView workbookViewId="0">
      <selection activeCell="J22" sqref="J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Detalle Enero</vt:lpstr>
      <vt:lpstr>Detalle Febrero</vt:lpstr>
      <vt:lpstr>Detalle Marzo</vt:lpstr>
      <vt:lpstr>Copiar y evaluar cada mes...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Avila</dc:creator>
  <cp:lastModifiedBy>David Avila</cp:lastModifiedBy>
  <dcterms:created xsi:type="dcterms:W3CDTF">2024-12-18T18:09:27Z</dcterms:created>
  <dcterms:modified xsi:type="dcterms:W3CDTF">2024-12-28T22:11:59Z</dcterms:modified>
</cp:coreProperties>
</file>